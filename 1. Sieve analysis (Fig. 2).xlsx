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nlab202101B\Desktop\Dr. Rizwan\3. GFRP Mohsan\Structural Performance of Hollow GFRP Sections filled with Geopolymer Recycled Aggregate Concrete\"/>
    </mc:Choice>
  </mc:AlternateContent>
  <xr:revisionPtr revIDLastSave="0" documentId="13_ncr:1_{A085F5FB-8570-4192-A573-BAB329739F2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14" i="1"/>
  <c r="E6" i="1" s="1"/>
  <c r="F6" i="1" s="1"/>
  <c r="E7" i="1" l="1"/>
  <c r="F7" i="1" s="1"/>
  <c r="D36" i="1" l="1"/>
  <c r="D25" i="1" l="1"/>
  <c r="E22" i="1" l="1"/>
  <c r="E30" i="1"/>
  <c r="F30" i="1" s="1"/>
  <c r="E21" i="1"/>
  <c r="E19" i="1"/>
  <c r="F19" i="1" s="1"/>
  <c r="G19" i="1" s="1"/>
  <c r="E20" i="1"/>
  <c r="E34" i="1"/>
  <c r="E33" i="1"/>
  <c r="E35" i="1"/>
  <c r="E31" i="1"/>
  <c r="E32" i="1"/>
  <c r="E23" i="1"/>
  <c r="E24" i="1"/>
  <c r="G6" i="1"/>
  <c r="E8" i="1"/>
  <c r="E9" i="1"/>
  <c r="E11" i="1"/>
  <c r="E13" i="1"/>
  <c r="E12" i="1"/>
  <c r="E10" i="1"/>
  <c r="F20" i="1" l="1"/>
  <c r="G20" i="1" s="1"/>
  <c r="F31" i="1"/>
  <c r="G30" i="1"/>
  <c r="G7" i="1"/>
  <c r="F8" i="1"/>
  <c r="F21" i="1" l="1"/>
  <c r="G21" i="1" s="1"/>
  <c r="G31" i="1"/>
  <c r="F32" i="1"/>
  <c r="F33" i="1" s="1"/>
  <c r="G8" i="1"/>
  <c r="F9" i="1"/>
  <c r="F22" i="1" l="1"/>
  <c r="G22" i="1" s="1"/>
  <c r="G32" i="1"/>
  <c r="G9" i="1"/>
  <c r="F10" i="1"/>
  <c r="F23" i="1" l="1"/>
  <c r="G23" i="1" s="1"/>
  <c r="G33" i="1"/>
  <c r="F34" i="1"/>
  <c r="F35" i="1" s="1"/>
  <c r="F11" i="1"/>
  <c r="G10" i="1"/>
  <c r="G35" i="1" l="1"/>
  <c r="G34" i="1"/>
  <c r="F24" i="1"/>
  <c r="F25" i="1" s="1"/>
  <c r="F12" i="1"/>
  <c r="G11" i="1"/>
  <c r="F36" i="1" l="1"/>
  <c r="G24" i="1"/>
  <c r="F13" i="1"/>
  <c r="G13" i="1" s="1"/>
  <c r="G12" i="1"/>
</calcChain>
</file>

<file path=xl/sharedStrings.xml><?xml version="1.0" encoding="utf-8"?>
<sst xmlns="http://schemas.openxmlformats.org/spreadsheetml/2006/main" count="88" uniqueCount="26">
  <si>
    <t>Sieve #</t>
  </si>
  <si>
    <t>Sieve Size</t>
  </si>
  <si>
    <t>Weight Retained</t>
  </si>
  <si>
    <t>% Weight Retained</t>
  </si>
  <si>
    <t>Cumulative % Retained</t>
  </si>
  <si>
    <t>Cumulative % Passing</t>
  </si>
  <si>
    <t>gm</t>
  </si>
  <si>
    <t>Pan</t>
  </si>
  <si>
    <t>SieveSize</t>
  </si>
  <si>
    <t>mm</t>
  </si>
  <si>
    <t>3”</t>
  </si>
  <si>
    <t>1.5”</t>
  </si>
  <si>
    <t>3/4"</t>
  </si>
  <si>
    <t>3/8”</t>
  </si>
  <si>
    <t>3/16”</t>
  </si>
  <si>
    <t>3/32”</t>
  </si>
  <si>
    <t>ASTM Grading Requirement for Fine Aggregate</t>
  </si>
  <si>
    <t>Size</t>
  </si>
  <si>
    <t>Minimum Passing</t>
  </si>
  <si>
    <t>Maximum Passing</t>
  </si>
  <si>
    <t>%</t>
  </si>
  <si>
    <t>ASTM Grading Requirement for Coarse Aggregate</t>
  </si>
  <si>
    <t>Sample Weight =</t>
  </si>
  <si>
    <t>Grading Curve of Fine Aggregate:</t>
  </si>
  <si>
    <t>Grading Curve of Natural Coarse Aggregate:</t>
  </si>
  <si>
    <t>Grading Curve of Recycled Coarse Aggregate: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</si>
</sst>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/>
    <xf numFmtId="0" fontId="8" fillId="0" borderId="5" xfId="0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648077036027987E-2"/>
          <c:y val="8.2664889248156945E-2"/>
          <c:w val="0.8617108486439195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Minimum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Sheet1!$J$7:$J$13</c:f>
              <c:numCache>
                <c:formatCode>General</c:formatCode>
                <c:ptCount val="7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xVal>
          <c:yVal>
            <c:numRef>
              <c:f>Sheet1!$K$7:$K$13</c:f>
              <c:numCache>
                <c:formatCode>General</c:formatCode>
                <c:ptCount val="7"/>
                <c:pt idx="0">
                  <c:v>100</c:v>
                </c:pt>
                <c:pt idx="1">
                  <c:v>95</c:v>
                </c:pt>
                <c:pt idx="2">
                  <c:v>80</c:v>
                </c:pt>
                <c:pt idx="3">
                  <c:v>50</c:v>
                </c:pt>
                <c:pt idx="4">
                  <c:v>25</c:v>
                </c:pt>
                <c:pt idx="5">
                  <c:v>5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25-46BF-882C-999D19C0DD1D}"/>
            </c:ext>
          </c:extLst>
        </c:ser>
        <c:ser>
          <c:idx val="1"/>
          <c:order val="1"/>
          <c:tx>
            <c:v>Maximum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Sheet1!$J$7:$J$13</c:f>
              <c:numCache>
                <c:formatCode>General</c:formatCode>
                <c:ptCount val="7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xVal>
          <c:yVal>
            <c:numRef>
              <c:f>Sheet1!$L$7:$L$13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</c:v>
                </c:pt>
                <c:pt idx="4">
                  <c:v>60</c:v>
                </c:pt>
                <c:pt idx="5">
                  <c:v>30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25-46BF-882C-999D19C0DD1D}"/>
            </c:ext>
          </c:extLst>
        </c:ser>
        <c:ser>
          <c:idx val="2"/>
          <c:order val="2"/>
          <c:tx>
            <c:v>Graded Fine Aggregate</c:v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Sheet1!$C$6:$C$12</c:f>
              <c:numCache>
                <c:formatCode>General</c:formatCode>
                <c:ptCount val="7"/>
                <c:pt idx="0">
                  <c:v>4.75</c:v>
                </c:pt>
                <c:pt idx="1">
                  <c:v>2.36</c:v>
                </c:pt>
                <c:pt idx="2">
                  <c:v>1.18</c:v>
                </c:pt>
                <c:pt idx="3">
                  <c:v>0.6</c:v>
                </c:pt>
                <c:pt idx="4">
                  <c:v>0.3</c:v>
                </c:pt>
                <c:pt idx="5">
                  <c:v>0.15</c:v>
                </c:pt>
                <c:pt idx="6">
                  <c:v>7.4999999999999997E-2</c:v>
                </c:pt>
              </c:numCache>
            </c:numRef>
          </c:xVal>
          <c:yVal>
            <c:numRef>
              <c:f>Sheet1!$G$6:$G$12</c:f>
              <c:numCache>
                <c:formatCode>0.00</c:formatCode>
                <c:ptCount val="7"/>
                <c:pt idx="0">
                  <c:v>100</c:v>
                </c:pt>
                <c:pt idx="1">
                  <c:v>91.164658634538156</c:v>
                </c:pt>
                <c:pt idx="2">
                  <c:v>76.104417670682722</c:v>
                </c:pt>
                <c:pt idx="3">
                  <c:v>55.020080321285135</c:v>
                </c:pt>
                <c:pt idx="4">
                  <c:v>22.891566265060234</c:v>
                </c:pt>
                <c:pt idx="5">
                  <c:v>5.8232931726907537</c:v>
                </c:pt>
                <c:pt idx="6">
                  <c:v>0.40160642570279492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25-46BF-882C-999D19C0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48872"/>
        <c:axId val="376845592"/>
      </c:scatterChart>
      <c:valAx>
        <c:axId val="376848872"/>
        <c:scaling>
          <c:logBase val="10"/>
          <c:orientation val="maxMin"/>
          <c:max val="100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prstDash val="lg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Average Grain Diameter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6845592"/>
        <c:crosses val="autoZero"/>
        <c:crossBetween val="midCat"/>
      </c:valAx>
      <c:valAx>
        <c:axId val="37684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Percentage Passing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6848872"/>
        <c:crosses val="max"/>
        <c:crossBetween val="midCat"/>
        <c:majorUnit val="10"/>
        <c:minorUnit val="10"/>
      </c:valAx>
      <c:spPr>
        <a:noFill/>
        <a:ln w="19050">
          <a:noFill/>
        </a:ln>
        <a:effectLst/>
      </c:spPr>
    </c:plotArea>
    <c:legend>
      <c:legendPos val="b"/>
      <c:layout>
        <c:manualLayout>
          <c:xMode val="edge"/>
          <c:yMode val="edge"/>
          <c:x val="0.10547383604466115"/>
          <c:y val="0.56507383767091113"/>
          <c:w val="0.35423297626394279"/>
          <c:h val="0.2292883600860205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25400" dist="12700" dir="600000" sx="102000" sy="102000" algn="ctr" rotWithShape="0">
            <a:srgbClr val="000000">
              <a:alpha val="30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1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648077036027987E-2"/>
          <c:y val="8.2664889248156945E-2"/>
          <c:w val="0.8617108486439195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Minimum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Sheet1!$J$20:$J$25</c:f>
              <c:numCache>
                <c:formatCode>General</c:formatCode>
                <c:ptCount val="6"/>
                <c:pt idx="0">
                  <c:v>75</c:v>
                </c:pt>
                <c:pt idx="1">
                  <c:v>37.5</c:v>
                </c:pt>
                <c:pt idx="2">
                  <c:v>19</c:v>
                </c:pt>
                <c:pt idx="3">
                  <c:v>9.5</c:v>
                </c:pt>
                <c:pt idx="4">
                  <c:v>4.75</c:v>
                </c:pt>
                <c:pt idx="5">
                  <c:v>2.36</c:v>
                </c:pt>
              </c:numCache>
            </c:numRef>
          </c:xVal>
          <c:yVal>
            <c:numRef>
              <c:f>Sheet1!$K$20:$K$25</c:f>
              <c:numCache>
                <c:formatCode>General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35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D-4702-976D-A8E92EE3590A}"/>
            </c:ext>
          </c:extLst>
        </c:ser>
        <c:ser>
          <c:idx val="1"/>
          <c:order val="1"/>
          <c:tx>
            <c:v>Maximum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Sheet1!$J$20:$J$25</c:f>
              <c:numCache>
                <c:formatCode>General</c:formatCode>
                <c:ptCount val="6"/>
                <c:pt idx="0">
                  <c:v>75</c:v>
                </c:pt>
                <c:pt idx="1">
                  <c:v>37.5</c:v>
                </c:pt>
                <c:pt idx="2">
                  <c:v>19</c:v>
                </c:pt>
                <c:pt idx="3">
                  <c:v>9.5</c:v>
                </c:pt>
                <c:pt idx="4">
                  <c:v>4.75</c:v>
                </c:pt>
                <c:pt idx="5">
                  <c:v>2.36</c:v>
                </c:pt>
              </c:numCache>
            </c:numRef>
          </c:xVal>
          <c:yVal>
            <c:numRef>
              <c:f>Sheet1!$L$20:$L$25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70</c:v>
                </c:pt>
                <c:pt idx="3">
                  <c:v>30</c:v>
                </c:pt>
                <c:pt idx="4">
                  <c:v>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7D-4702-976D-A8E92EE3590A}"/>
            </c:ext>
          </c:extLst>
        </c:ser>
        <c:ser>
          <c:idx val="2"/>
          <c:order val="2"/>
          <c:tx>
            <c:v>Graded Natural Aggregate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Sheet1!$C$19:$C$24</c:f>
              <c:numCache>
                <c:formatCode>General</c:formatCode>
                <c:ptCount val="6"/>
                <c:pt idx="0">
                  <c:v>75</c:v>
                </c:pt>
                <c:pt idx="1">
                  <c:v>37.5</c:v>
                </c:pt>
                <c:pt idx="2">
                  <c:v>19</c:v>
                </c:pt>
                <c:pt idx="3">
                  <c:v>9.5</c:v>
                </c:pt>
                <c:pt idx="4">
                  <c:v>4.75</c:v>
                </c:pt>
                <c:pt idx="5">
                  <c:v>2.36</c:v>
                </c:pt>
              </c:numCache>
            </c:numRef>
          </c:xVal>
          <c:yVal>
            <c:numRef>
              <c:f>Sheet1!$G$19:$G$24</c:f>
              <c:numCache>
                <c:formatCode>0.00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54.887218045112782</c:v>
                </c:pt>
                <c:pt idx="3">
                  <c:v>25.062656641604008</c:v>
                </c:pt>
                <c:pt idx="4">
                  <c:v>3.5087719298245617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7D-4702-976D-A8E92EE3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48872"/>
        <c:axId val="376845592"/>
      </c:scatterChart>
      <c:valAx>
        <c:axId val="376848872"/>
        <c:scaling>
          <c:logBase val="10"/>
          <c:orientation val="maxMin"/>
          <c:max val="100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prstDash val="lg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Average Grain Diameter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6845592"/>
        <c:crosses val="autoZero"/>
        <c:crossBetween val="midCat"/>
      </c:valAx>
      <c:valAx>
        <c:axId val="37684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Percentage Passing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6848872"/>
        <c:crosses val="max"/>
        <c:crossBetween val="midCat"/>
        <c:majorUnit val="10"/>
        <c:minorUnit val="10"/>
      </c:valAx>
      <c:spPr>
        <a:noFill/>
        <a:ln w="19050">
          <a:noFill/>
        </a:ln>
        <a:effectLst/>
      </c:spPr>
    </c:plotArea>
    <c:legend>
      <c:legendPos val="b"/>
      <c:layout>
        <c:manualLayout>
          <c:xMode val="edge"/>
          <c:yMode val="edge"/>
          <c:x val="0.10547383604466115"/>
          <c:y val="0.58525884352356905"/>
          <c:w val="0.38190549981793553"/>
          <c:h val="0.209103155784417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25400" dist="12700" dir="600000" sx="102000" sy="102000" algn="ctr" rotWithShape="0">
            <a:srgbClr val="000000">
              <a:alpha val="30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1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648077036027987E-2"/>
          <c:y val="8.2664889248156945E-2"/>
          <c:w val="0.8617108486439195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Minimum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Sheet1!$J$31:$J$36</c:f>
              <c:numCache>
                <c:formatCode>General</c:formatCode>
                <c:ptCount val="6"/>
                <c:pt idx="0">
                  <c:v>75</c:v>
                </c:pt>
                <c:pt idx="1">
                  <c:v>37.5</c:v>
                </c:pt>
                <c:pt idx="2">
                  <c:v>19</c:v>
                </c:pt>
                <c:pt idx="3">
                  <c:v>9.5</c:v>
                </c:pt>
                <c:pt idx="4">
                  <c:v>4.75</c:v>
                </c:pt>
                <c:pt idx="5">
                  <c:v>2.36</c:v>
                </c:pt>
              </c:numCache>
            </c:numRef>
          </c:xVal>
          <c:yVal>
            <c:numRef>
              <c:f>Sheet1!$K$31:$K$36</c:f>
              <c:numCache>
                <c:formatCode>General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35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F-4504-ADC8-B01B424F710F}"/>
            </c:ext>
          </c:extLst>
        </c:ser>
        <c:ser>
          <c:idx val="1"/>
          <c:order val="1"/>
          <c:tx>
            <c:v>Maximum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Sheet1!$J$31:$J$36</c:f>
              <c:numCache>
                <c:formatCode>General</c:formatCode>
                <c:ptCount val="6"/>
                <c:pt idx="0">
                  <c:v>75</c:v>
                </c:pt>
                <c:pt idx="1">
                  <c:v>37.5</c:v>
                </c:pt>
                <c:pt idx="2">
                  <c:v>19</c:v>
                </c:pt>
                <c:pt idx="3">
                  <c:v>9.5</c:v>
                </c:pt>
                <c:pt idx="4">
                  <c:v>4.75</c:v>
                </c:pt>
                <c:pt idx="5">
                  <c:v>2.36</c:v>
                </c:pt>
              </c:numCache>
            </c:numRef>
          </c:xVal>
          <c:yVal>
            <c:numRef>
              <c:f>Sheet1!$L$31:$L$36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70</c:v>
                </c:pt>
                <c:pt idx="3">
                  <c:v>30</c:v>
                </c:pt>
                <c:pt idx="4">
                  <c:v>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F-4504-ADC8-B01B424F710F}"/>
            </c:ext>
          </c:extLst>
        </c:ser>
        <c:ser>
          <c:idx val="2"/>
          <c:order val="2"/>
          <c:tx>
            <c:v>Graded Recycled Concrete Aggregate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Sheet1!$C$30:$C$35</c:f>
              <c:numCache>
                <c:formatCode>General</c:formatCode>
                <c:ptCount val="6"/>
                <c:pt idx="0">
                  <c:v>75</c:v>
                </c:pt>
                <c:pt idx="1">
                  <c:v>37.5</c:v>
                </c:pt>
                <c:pt idx="2">
                  <c:v>19</c:v>
                </c:pt>
                <c:pt idx="3">
                  <c:v>9.5</c:v>
                </c:pt>
                <c:pt idx="4">
                  <c:v>4.75</c:v>
                </c:pt>
                <c:pt idx="5">
                  <c:v>2.36</c:v>
                </c:pt>
              </c:numCache>
            </c:numRef>
          </c:xVal>
          <c:yVal>
            <c:numRef>
              <c:f>Sheet1!$G$30:$G$35</c:f>
              <c:numCache>
                <c:formatCode>0.00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65.213032581453632</c:v>
                </c:pt>
                <c:pt idx="3">
                  <c:v>31.32832080200501</c:v>
                </c:pt>
                <c:pt idx="4">
                  <c:v>2.5062656641603951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F-4504-ADC8-B01B424F7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48872"/>
        <c:axId val="376845592"/>
      </c:scatterChart>
      <c:valAx>
        <c:axId val="376848872"/>
        <c:scaling>
          <c:logBase val="10"/>
          <c:orientation val="maxMin"/>
          <c:max val="100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prstDash val="lg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Average Grain Diameter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6845592"/>
        <c:crosses val="autoZero"/>
        <c:crossBetween val="midCat"/>
      </c:valAx>
      <c:valAx>
        <c:axId val="37684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Percentage Passing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6848872"/>
        <c:crosses val="max"/>
        <c:crossBetween val="midCat"/>
        <c:majorUnit val="10"/>
        <c:minorUnit val="10"/>
      </c:valAx>
      <c:spPr>
        <a:noFill/>
        <a:ln w="19050">
          <a:noFill/>
        </a:ln>
        <a:effectLst/>
      </c:spPr>
    </c:plotArea>
    <c:legend>
      <c:legendPos val="b"/>
      <c:layout>
        <c:manualLayout>
          <c:xMode val="edge"/>
          <c:yMode val="edge"/>
          <c:x val="0.10313380055910841"/>
          <c:y val="0.63762065273477397"/>
          <c:w val="0.51876878261871773"/>
          <c:h val="0.1567413101080384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25400" dist="12700" dir="600000" sx="102000" sy="102000" algn="ctr" rotWithShape="0">
            <a:srgbClr val="000000">
              <a:alpha val="30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1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412982</xdr:colOff>
      <xdr:row>0</xdr:row>
      <xdr:rowOff>241904</xdr:rowOff>
    </xdr:from>
    <xdr:to>
      <xdr:col>21</xdr:col>
      <xdr:colOff>74478</xdr:colOff>
      <xdr:row>14</xdr:row>
      <xdr:rowOff>120766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F3A71-CCEE-4DE6-A0AB-01E49C6EA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412258</xdr:colOff>
      <xdr:row>14</xdr:row>
      <xdr:rowOff>155853</xdr:rowOff>
    </xdr:from>
    <xdr:to>
      <xdr:col>21</xdr:col>
      <xdr:colOff>75203</xdr:colOff>
      <xdr:row>28</xdr:row>
      <xdr:rowOff>151034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233E2AB-2A3B-46A1-86E3-A85A24C12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412258</xdr:colOff>
      <xdr:row>28</xdr:row>
      <xdr:rowOff>-1</xdr:rowOff>
    </xdr:from>
    <xdr:to>
      <xdr:col>21</xdr:col>
      <xdr:colOff>75203</xdr:colOff>
      <xdr:row>42</xdr:row>
      <xdr:rowOff>16706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CFC847-2F66-495E-8D1C-5D2703602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0.90741</cdr:x>
      <cdr:y>0.08638</cdr:y>
    </cdr:from>
    <cdr:to>
      <cdr:x>0.9578</cdr:x>
      <cdr:y>0.16175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875EC3-07FE-7D30-8B63-752204F99973}"/>
            </a:ext>
          </a:extLst>
        </cdr:cNvPr>
        <cdr:cNvSpPr txBox="1"/>
      </cdr:nvSpPr>
      <cdr:spPr>
        <a:xfrm xmlns:a="http://schemas.openxmlformats.org/drawingml/2006/main">
          <a:off x="4937616" y="271570"/>
          <a:ext cx="274204" cy="23698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/>
        </a:solidFill>
        <a:ln xmlns:a="http://schemas.openxmlformats.org/drawingml/2006/main">
          <a:solidFill>
            <a:schemeClr val="tx1"/>
          </a:solidFill>
        </a:ln>
        <a:effectLst xmlns:a="http://schemas.openxmlformats.org/drawingml/2006/main">
          <a:outerShdw blurRad="25400" dist="12700" dir="60000" sx="102000" sy="102000" algn="ctr" rotWithShape="0">
            <a:srgbClr val="000000">
              <a:alpha val="30000"/>
            </a:srgbClr>
          </a:outerShdw>
        </a:effectLst>
      </cdr:spPr>
      <cdr:txBody>
        <a:bodyPr xmlns:a="http://schemas.openxmlformats.org/drawingml/2006/main" vertOverflow="clip" wrap="square" lIns="0" tIns="0" rIns="0" bIns="0" rtlCol="0" anchor="ctr" anchorCtr="0"/>
        <a:lstStyle xmlns:a="http://schemas.openxmlformats.org/drawingml/2006/main"/>
        <a:p xmlns:a="http://schemas.openxmlformats.org/drawingml/2006/main">
          <a:pPr algn="ctr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(c)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0.90882</cdr:x>
      <cdr:y>0.08438</cdr:y>
    </cdr:from>
    <cdr:to>
      <cdr:x>0.9592</cdr:x>
      <cdr:y>0.15969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578AC5-DADC-FE72-CA6D-49133EB2EB6E}"/>
            </a:ext>
          </a:extLst>
        </cdr:cNvPr>
        <cdr:cNvSpPr txBox="1"/>
      </cdr:nvSpPr>
      <cdr:spPr>
        <a:xfrm xmlns:a="http://schemas.openxmlformats.org/drawingml/2006/main">
          <a:off x="4938530" y="264625"/>
          <a:ext cx="273755" cy="23616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/>
        </a:solidFill>
        <a:ln xmlns:a="http://schemas.openxmlformats.org/drawingml/2006/main">
          <a:solidFill>
            <a:schemeClr val="tx1"/>
          </a:solidFill>
        </a:ln>
        <a:effectLst xmlns:a="http://schemas.openxmlformats.org/drawingml/2006/main">
          <a:outerShdw blurRad="25400" dist="12700" dir="60000" sx="102000" sy="102000" algn="ctr" rotWithShape="0">
            <a:srgbClr val="000000">
              <a:alpha val="30000"/>
            </a:srgbClr>
          </a:outerShdw>
        </a:effectLst>
      </cdr:spPr>
      <cdr:txBody>
        <a:bodyPr xmlns:a="http://schemas.openxmlformats.org/drawingml/2006/main" wrap="square" lIns="0" tIns="0" rIns="0" bIns="0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(a)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0.90637</cdr:x>
      <cdr:y>0.08679</cdr:y>
    </cdr:from>
    <cdr:to>
      <cdr:x>0.95678</cdr:x>
      <cdr:y>0.1622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578AC5-DADC-FE72-CA6D-49133EB2EB6E}"/>
            </a:ext>
          </a:extLst>
        </cdr:cNvPr>
        <cdr:cNvSpPr txBox="1"/>
      </cdr:nvSpPr>
      <cdr:spPr>
        <a:xfrm xmlns:a="http://schemas.openxmlformats.org/drawingml/2006/main">
          <a:off x="4930694" y="271622"/>
          <a:ext cx="274270" cy="23600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/>
        </a:solidFill>
        <a:ln xmlns:a="http://schemas.openxmlformats.org/drawingml/2006/main">
          <a:solidFill>
            <a:schemeClr val="tx1"/>
          </a:solidFill>
        </a:ln>
        <a:effectLst xmlns:a="http://schemas.openxmlformats.org/drawingml/2006/main">
          <a:outerShdw blurRad="25400" dist="12700" dir="60000" sx="102000" sy="102000" algn="ctr" rotWithShape="0">
            <a:srgbClr val="000000">
              <a:alpha val="30000"/>
            </a:srgbClr>
          </a:outerShdw>
        </a:effectLst>
      </cdr:spPr>
      <cdr:txBody>
        <a:bodyPr xmlns:a="http://schemas.openxmlformats.org/drawingml/2006/main" wrap="square" lIns="0" tIns="0" rIns="0" bIns="0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(b)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tabSelected="1" zoomScale="59" zoomScaleNormal="59" workbookViewId="0">
      <selection activeCell="B1" sqref="B1"/>
    </sheetView>
  </sheetViews>
  <sheetFormatPr defaultColWidth="9.1796875" defaultRowHeight="14" x14ac:dyDescent="0.3"/>
  <cols>
    <col min="1" max="2" width="9.1796875" style="10"/>
    <col min="3" max="3" width="11.26953125" style="10" customWidth="1"/>
    <col min="4" max="4" width="11.7265625" style="10" customWidth="1"/>
    <col min="5" max="5" width="10.453125" style="10" customWidth="1"/>
    <col min="6" max="6" width="12.81640625" style="10" customWidth="1"/>
    <col min="7" max="7" width="12.7265625" style="10" customWidth="1"/>
    <col min="8" max="8" width="13.1796875" style="10" bestFit="1" customWidth="1"/>
    <col min="9" max="9" width="9.1796875" style="10"/>
    <col min="10" max="10" width="11" style="10" customWidth="1"/>
    <col min="11" max="11" width="12" style="10" customWidth="1"/>
    <col min="12" max="12" width="11.26953125" style="10" customWidth="1"/>
    <col min="13" max="16384" width="9.1796875" style="10"/>
  </cols>
  <sheetData>
    <row r="2" spans="2:12" ht="17.5" x14ac:dyDescent="0.35">
      <c r="B2" s="23" t="s">
        <v>23</v>
      </c>
      <c r="C2" s="23"/>
      <c r="D2" s="23"/>
      <c r="E2" s="23"/>
      <c r="F2" s="23"/>
      <c r="G2" s="23"/>
    </row>
    <row r="3" spans="2:12" ht="14.5" thickBot="1" x14ac:dyDescent="0.35">
      <c r="B3" s="22" t="s">
        <v>22</v>
      </c>
      <c r="C3" s="22"/>
      <c r="D3" s="22">
        <v>500</v>
      </c>
      <c r="E3" s="22" t="s">
        <v>6</v>
      </c>
    </row>
    <row r="4" spans="2:12" ht="30.5" thickBot="1" x14ac:dyDescent="0.35">
      <c r="B4" s="7" t="s">
        <v>0</v>
      </c>
      <c r="C4" s="8" t="s">
        <v>8</v>
      </c>
      <c r="D4" s="8" t="s">
        <v>2</v>
      </c>
      <c r="E4" s="8" t="s">
        <v>3</v>
      </c>
      <c r="F4" s="8" t="s">
        <v>4</v>
      </c>
      <c r="G4" s="9" t="s">
        <v>5</v>
      </c>
      <c r="I4" s="24" t="s">
        <v>16</v>
      </c>
      <c r="J4" s="25"/>
      <c r="K4" s="25"/>
      <c r="L4" s="26"/>
    </row>
    <row r="5" spans="2:12" ht="31.5" thickBot="1" x14ac:dyDescent="0.35">
      <c r="B5" s="1"/>
      <c r="C5" s="2" t="s">
        <v>9</v>
      </c>
      <c r="D5" s="2" t="s">
        <v>6</v>
      </c>
      <c r="E5" s="2" t="s">
        <v>6</v>
      </c>
      <c r="F5" s="2" t="s">
        <v>6</v>
      </c>
      <c r="G5" s="2" t="s">
        <v>6</v>
      </c>
      <c r="I5" s="5" t="s">
        <v>0</v>
      </c>
      <c r="J5" s="2" t="s">
        <v>17</v>
      </c>
      <c r="K5" s="2" t="s">
        <v>18</v>
      </c>
      <c r="L5" s="2" t="s">
        <v>19</v>
      </c>
    </row>
    <row r="6" spans="2:12" ht="16" thickBot="1" x14ac:dyDescent="0.35">
      <c r="B6" s="3">
        <v>4</v>
      </c>
      <c r="C6" s="4">
        <v>4.75</v>
      </c>
      <c r="D6" s="20">
        <v>0</v>
      </c>
      <c r="E6" s="12">
        <f>(D6/$D$14)*100</f>
        <v>0</v>
      </c>
      <c r="F6" s="12">
        <f>E6</f>
        <v>0</v>
      </c>
      <c r="G6" s="12">
        <f>100-F6</f>
        <v>100</v>
      </c>
      <c r="I6" s="3"/>
      <c r="J6" s="4" t="s">
        <v>9</v>
      </c>
      <c r="K6" s="4" t="s">
        <v>20</v>
      </c>
      <c r="L6" s="4" t="s">
        <v>20</v>
      </c>
    </row>
    <row r="7" spans="2:12" ht="16" thickBot="1" x14ac:dyDescent="0.35">
      <c r="B7" s="5">
        <v>8</v>
      </c>
      <c r="C7" s="2">
        <v>2.36</v>
      </c>
      <c r="D7" s="21">
        <v>44</v>
      </c>
      <c r="E7" s="12">
        <f>(D7/$D$14)*100</f>
        <v>8.8353413654618471</v>
      </c>
      <c r="F7" s="13">
        <f>F6+E7</f>
        <v>8.8353413654618471</v>
      </c>
      <c r="G7" s="12">
        <f t="shared" ref="G7:G13" si="0">100-F7</f>
        <v>91.164658634538156</v>
      </c>
      <c r="I7" s="5" t="s">
        <v>13</v>
      </c>
      <c r="J7" s="2">
        <v>9.5</v>
      </c>
      <c r="K7" s="2">
        <v>100</v>
      </c>
      <c r="L7" s="2">
        <v>100</v>
      </c>
    </row>
    <row r="8" spans="2:12" ht="16" thickBot="1" x14ac:dyDescent="0.35">
      <c r="B8" s="3">
        <v>16</v>
      </c>
      <c r="C8" s="4">
        <v>1.18</v>
      </c>
      <c r="D8" s="20">
        <v>75</v>
      </c>
      <c r="E8" s="12">
        <f t="shared" ref="E8:E13" si="1">(D8/$D$14)*100</f>
        <v>15.060240963855422</v>
      </c>
      <c r="F8" s="13">
        <f t="shared" ref="F8:F12" si="2">F7+E8</f>
        <v>23.895582329317271</v>
      </c>
      <c r="G8" s="12">
        <f t="shared" si="0"/>
        <v>76.104417670682722</v>
      </c>
      <c r="I8" s="3">
        <v>4</v>
      </c>
      <c r="J8" s="4">
        <v>4.75</v>
      </c>
      <c r="K8" s="4">
        <v>95</v>
      </c>
      <c r="L8" s="4">
        <v>100</v>
      </c>
    </row>
    <row r="9" spans="2:12" ht="16" thickBot="1" x14ac:dyDescent="0.35">
      <c r="B9" s="5">
        <v>30</v>
      </c>
      <c r="C9" s="2">
        <v>0.6</v>
      </c>
      <c r="D9" s="21">
        <v>105</v>
      </c>
      <c r="E9" s="12">
        <f t="shared" si="1"/>
        <v>21.084337349397593</v>
      </c>
      <c r="F9" s="13">
        <f>F8+E9</f>
        <v>44.979919678714865</v>
      </c>
      <c r="G9" s="12">
        <f t="shared" si="0"/>
        <v>55.020080321285135</v>
      </c>
      <c r="I9" s="5">
        <v>8</v>
      </c>
      <c r="J9" s="2">
        <v>2.36</v>
      </c>
      <c r="K9" s="2">
        <v>80</v>
      </c>
      <c r="L9" s="2">
        <v>100</v>
      </c>
    </row>
    <row r="10" spans="2:12" ht="16" thickBot="1" x14ac:dyDescent="0.35">
      <c r="B10" s="3">
        <v>50</v>
      </c>
      <c r="C10" s="4">
        <v>0.3</v>
      </c>
      <c r="D10" s="20">
        <v>160</v>
      </c>
      <c r="E10" s="12">
        <f t="shared" si="1"/>
        <v>32.128514056224901</v>
      </c>
      <c r="F10" s="13">
        <f t="shared" si="2"/>
        <v>77.108433734939766</v>
      </c>
      <c r="G10" s="12">
        <f t="shared" si="0"/>
        <v>22.891566265060234</v>
      </c>
      <c r="I10" s="3">
        <v>16</v>
      </c>
      <c r="J10" s="4">
        <v>1.18</v>
      </c>
      <c r="K10" s="4">
        <v>50</v>
      </c>
      <c r="L10" s="4">
        <v>85</v>
      </c>
    </row>
    <row r="11" spans="2:12" ht="16" thickBot="1" x14ac:dyDescent="0.35">
      <c r="B11" s="5">
        <v>100</v>
      </c>
      <c r="C11" s="2">
        <v>0.15</v>
      </c>
      <c r="D11" s="21">
        <v>85</v>
      </c>
      <c r="E11" s="12">
        <f t="shared" si="1"/>
        <v>17.068273092369481</v>
      </c>
      <c r="F11" s="13">
        <f t="shared" si="2"/>
        <v>94.176706827309246</v>
      </c>
      <c r="G11" s="12">
        <f t="shared" si="0"/>
        <v>5.8232931726907537</v>
      </c>
      <c r="I11" s="5">
        <v>30</v>
      </c>
      <c r="J11" s="2">
        <v>0.6</v>
      </c>
      <c r="K11" s="2">
        <v>25</v>
      </c>
      <c r="L11" s="2">
        <v>60</v>
      </c>
    </row>
    <row r="12" spans="2:12" ht="16" thickBot="1" x14ac:dyDescent="0.35">
      <c r="B12" s="3">
        <v>200</v>
      </c>
      <c r="C12" s="4">
        <v>7.4999999999999997E-2</v>
      </c>
      <c r="D12" s="20">
        <v>27</v>
      </c>
      <c r="E12" s="12">
        <f t="shared" si="1"/>
        <v>5.4216867469879517</v>
      </c>
      <c r="F12" s="13">
        <f t="shared" si="2"/>
        <v>99.598393574297205</v>
      </c>
      <c r="G12" s="12">
        <f t="shared" si="0"/>
        <v>0.40160642570279492</v>
      </c>
      <c r="I12" s="3">
        <v>50</v>
      </c>
      <c r="J12" s="4">
        <v>0.3</v>
      </c>
      <c r="K12" s="4">
        <v>5</v>
      </c>
      <c r="L12" s="4">
        <v>30</v>
      </c>
    </row>
    <row r="13" spans="2:12" ht="16" thickBot="1" x14ac:dyDescent="0.35">
      <c r="B13" s="5" t="s">
        <v>7</v>
      </c>
      <c r="C13" s="6"/>
      <c r="D13" s="21">
        <v>2</v>
      </c>
      <c r="E13" s="12">
        <f t="shared" si="1"/>
        <v>0.40160642570281119</v>
      </c>
      <c r="F13" s="13">
        <f>F12+E13</f>
        <v>100.00000000000001</v>
      </c>
      <c r="G13" s="12">
        <f t="shared" si="0"/>
        <v>0</v>
      </c>
      <c r="I13" s="5">
        <v>100</v>
      </c>
      <c r="J13" s="2">
        <v>0.15</v>
      </c>
      <c r="K13" s="2">
        <v>0</v>
      </c>
      <c r="L13" s="2">
        <v>10</v>
      </c>
    </row>
    <row r="14" spans="2:12" ht="16" thickBot="1" x14ac:dyDescent="0.35">
      <c r="B14" s="3"/>
      <c r="C14" s="4"/>
      <c r="D14" s="11">
        <f>SUM(D6:D13)</f>
        <v>498</v>
      </c>
      <c r="E14" s="11"/>
      <c r="F14" s="14"/>
      <c r="G14" s="14"/>
    </row>
    <row r="16" spans="2:12" ht="18" thickBot="1" x14ac:dyDescent="0.4">
      <c r="B16" s="23" t="s">
        <v>24</v>
      </c>
      <c r="C16" s="23"/>
      <c r="D16" s="23"/>
      <c r="E16" s="23"/>
      <c r="F16" s="23"/>
      <c r="G16" s="23"/>
    </row>
    <row r="17" spans="2:12" ht="30.5" thickBot="1" x14ac:dyDescent="0.35">
      <c r="B17" s="7" t="s">
        <v>0</v>
      </c>
      <c r="C17" s="8" t="s">
        <v>1</v>
      </c>
      <c r="D17" s="8" t="s">
        <v>2</v>
      </c>
      <c r="E17" s="8" t="s">
        <v>3</v>
      </c>
      <c r="F17" s="8" t="s">
        <v>4</v>
      </c>
      <c r="G17" s="9" t="s">
        <v>5</v>
      </c>
      <c r="I17" s="24" t="s">
        <v>21</v>
      </c>
      <c r="J17" s="25"/>
      <c r="K17" s="25"/>
      <c r="L17" s="26"/>
    </row>
    <row r="18" spans="2:12" ht="31.5" thickBot="1" x14ac:dyDescent="0.35">
      <c r="B18" s="1"/>
      <c r="C18" s="2" t="s">
        <v>9</v>
      </c>
      <c r="D18" s="2" t="s">
        <v>6</v>
      </c>
      <c r="E18" s="2" t="s">
        <v>6</v>
      </c>
      <c r="F18" s="2" t="s">
        <v>6</v>
      </c>
      <c r="G18" s="2" t="s">
        <v>6</v>
      </c>
      <c r="I18" s="5" t="s">
        <v>0</v>
      </c>
      <c r="J18" s="2" t="s">
        <v>17</v>
      </c>
      <c r="K18" s="2" t="s">
        <v>18</v>
      </c>
      <c r="L18" s="2" t="s">
        <v>19</v>
      </c>
    </row>
    <row r="19" spans="2:12" ht="16" thickBot="1" x14ac:dyDescent="0.35">
      <c r="B19" s="3" t="s">
        <v>10</v>
      </c>
      <c r="C19" s="4">
        <v>75</v>
      </c>
      <c r="D19" s="18">
        <v>0</v>
      </c>
      <c r="E19" s="16">
        <f t="shared" ref="E19:E24" si="3">D19/$D$25 * 100</f>
        <v>0</v>
      </c>
      <c r="F19" s="16">
        <f>E19</f>
        <v>0</v>
      </c>
      <c r="G19" s="16">
        <f>100-F19</f>
        <v>100</v>
      </c>
      <c r="I19" s="3"/>
      <c r="J19" s="4" t="s">
        <v>9</v>
      </c>
      <c r="K19" s="4" t="s">
        <v>20</v>
      </c>
      <c r="L19" s="4" t="s">
        <v>20</v>
      </c>
    </row>
    <row r="20" spans="2:12" ht="16" thickBot="1" x14ac:dyDescent="0.35">
      <c r="B20" s="5" t="s">
        <v>11</v>
      </c>
      <c r="C20" s="2">
        <v>37.5</v>
      </c>
      <c r="D20" s="19">
        <v>0</v>
      </c>
      <c r="E20" s="16">
        <f t="shared" si="3"/>
        <v>0</v>
      </c>
      <c r="F20" s="17">
        <f>F19+E20</f>
        <v>0</v>
      </c>
      <c r="G20" s="16">
        <f>100-F20</f>
        <v>100</v>
      </c>
      <c r="I20" s="5" t="s">
        <v>10</v>
      </c>
      <c r="J20" s="2">
        <v>75</v>
      </c>
      <c r="K20" s="2">
        <v>100</v>
      </c>
      <c r="L20" s="2">
        <v>100</v>
      </c>
    </row>
    <row r="21" spans="2:12" ht="16" thickBot="1" x14ac:dyDescent="0.35">
      <c r="B21" s="3" t="s">
        <v>12</v>
      </c>
      <c r="C21" s="4">
        <v>19</v>
      </c>
      <c r="D21" s="18">
        <v>900</v>
      </c>
      <c r="E21" s="16">
        <f t="shared" si="3"/>
        <v>45.112781954887218</v>
      </c>
      <c r="F21" s="17">
        <f t="shared" ref="F21:F24" si="4">F20+E21</f>
        <v>45.112781954887218</v>
      </c>
      <c r="G21" s="16">
        <f>100-F21</f>
        <v>54.887218045112782</v>
      </c>
      <c r="I21" s="3" t="s">
        <v>11</v>
      </c>
      <c r="J21" s="4">
        <v>37.5</v>
      </c>
      <c r="K21" s="4">
        <v>95</v>
      </c>
      <c r="L21" s="4">
        <v>100</v>
      </c>
    </row>
    <row r="22" spans="2:12" ht="16" thickBot="1" x14ac:dyDescent="0.35">
      <c r="B22" s="5" t="s">
        <v>13</v>
      </c>
      <c r="C22" s="2">
        <v>9.5</v>
      </c>
      <c r="D22" s="19">
        <f>1495-900</f>
        <v>595</v>
      </c>
      <c r="E22" s="16">
        <f t="shared" si="3"/>
        <v>29.82456140350877</v>
      </c>
      <c r="F22" s="17">
        <f>F21+E22</f>
        <v>74.937343358395992</v>
      </c>
      <c r="G22" s="16">
        <f>100-F22</f>
        <v>25.062656641604008</v>
      </c>
      <c r="I22" s="5" t="s">
        <v>12</v>
      </c>
      <c r="J22" s="2">
        <v>19</v>
      </c>
      <c r="K22" s="2">
        <v>35</v>
      </c>
      <c r="L22" s="2">
        <v>70</v>
      </c>
    </row>
    <row r="23" spans="2:12" ht="16" thickBot="1" x14ac:dyDescent="0.35">
      <c r="B23" s="3" t="s">
        <v>14</v>
      </c>
      <c r="C23" s="4">
        <v>4.75</v>
      </c>
      <c r="D23" s="18">
        <v>430</v>
      </c>
      <c r="E23" s="16">
        <f t="shared" si="3"/>
        <v>21.553884711779446</v>
      </c>
      <c r="F23" s="17">
        <f>F22+E23</f>
        <v>96.491228070175438</v>
      </c>
      <c r="G23" s="16">
        <f t="shared" ref="G23:G24" si="5">100-F23</f>
        <v>3.5087719298245617</v>
      </c>
      <c r="I23" s="3" t="s">
        <v>13</v>
      </c>
      <c r="J23" s="4">
        <v>9.5</v>
      </c>
      <c r="K23" s="4">
        <v>10</v>
      </c>
      <c r="L23" s="4">
        <v>30</v>
      </c>
    </row>
    <row r="24" spans="2:12" ht="16" thickBot="1" x14ac:dyDescent="0.35">
      <c r="B24" s="5" t="s">
        <v>15</v>
      </c>
      <c r="C24" s="2">
        <v>2.36</v>
      </c>
      <c r="D24" s="19">
        <v>70</v>
      </c>
      <c r="E24" s="16">
        <f t="shared" si="3"/>
        <v>3.5087719298245612</v>
      </c>
      <c r="F24" s="17">
        <f t="shared" si="4"/>
        <v>100</v>
      </c>
      <c r="G24" s="16">
        <f t="shared" si="5"/>
        <v>0</v>
      </c>
      <c r="I24" s="5" t="s">
        <v>14</v>
      </c>
      <c r="J24" s="2">
        <v>4.75</v>
      </c>
      <c r="K24" s="2">
        <v>0</v>
      </c>
      <c r="L24" s="2">
        <v>5</v>
      </c>
    </row>
    <row r="25" spans="2:12" ht="16" thickBot="1" x14ac:dyDescent="0.35">
      <c r="B25" s="3"/>
      <c r="C25" s="4"/>
      <c r="D25" s="15">
        <f>SUM(D19:D24)</f>
        <v>1995</v>
      </c>
      <c r="E25" s="16"/>
      <c r="F25" s="16">
        <f>SUM(F19:F24)</f>
        <v>316.54135338345867</v>
      </c>
      <c r="G25" s="16"/>
      <c r="I25" s="3" t="s">
        <v>15</v>
      </c>
      <c r="J25" s="4">
        <v>2.36</v>
      </c>
      <c r="K25" s="4">
        <v>0</v>
      </c>
      <c r="L25" s="4">
        <v>0</v>
      </c>
    </row>
    <row r="27" spans="2:12" ht="18" thickBot="1" x14ac:dyDescent="0.4">
      <c r="B27" s="23" t="s">
        <v>25</v>
      </c>
      <c r="C27" s="23"/>
      <c r="D27" s="23"/>
      <c r="E27" s="23"/>
      <c r="F27" s="23"/>
      <c r="G27" s="23"/>
    </row>
    <row r="28" spans="2:12" ht="30.5" thickBot="1" x14ac:dyDescent="0.35">
      <c r="B28" s="7" t="s">
        <v>0</v>
      </c>
      <c r="C28" s="8" t="s">
        <v>1</v>
      </c>
      <c r="D28" s="8" t="s">
        <v>2</v>
      </c>
      <c r="E28" s="8" t="s">
        <v>3</v>
      </c>
      <c r="F28" s="8" t="s">
        <v>4</v>
      </c>
      <c r="G28" s="9" t="s">
        <v>5</v>
      </c>
      <c r="I28" s="24" t="s">
        <v>21</v>
      </c>
      <c r="J28" s="25"/>
      <c r="K28" s="25"/>
      <c r="L28" s="26"/>
    </row>
    <row r="29" spans="2:12" ht="31.5" thickBot="1" x14ac:dyDescent="0.35">
      <c r="B29" s="1"/>
      <c r="C29" s="2" t="s">
        <v>9</v>
      </c>
      <c r="D29" s="2" t="s">
        <v>6</v>
      </c>
      <c r="E29" s="2" t="s">
        <v>6</v>
      </c>
      <c r="F29" s="2" t="s">
        <v>6</v>
      </c>
      <c r="G29" s="2" t="s">
        <v>6</v>
      </c>
      <c r="I29" s="5" t="s">
        <v>0</v>
      </c>
      <c r="J29" s="2" t="s">
        <v>17</v>
      </c>
      <c r="K29" s="2" t="s">
        <v>18</v>
      </c>
      <c r="L29" s="2" t="s">
        <v>19</v>
      </c>
    </row>
    <row r="30" spans="2:12" ht="16" thickBot="1" x14ac:dyDescent="0.35">
      <c r="B30" s="3" t="s">
        <v>10</v>
      </c>
      <c r="C30" s="4">
        <v>75</v>
      </c>
      <c r="D30" s="18">
        <v>0</v>
      </c>
      <c r="E30" s="16">
        <f>D30/$D$25 * 100</f>
        <v>0</v>
      </c>
      <c r="F30" s="16">
        <f>E30</f>
        <v>0</v>
      </c>
      <c r="G30" s="16">
        <f>100-F30</f>
        <v>100</v>
      </c>
      <c r="I30" s="3"/>
      <c r="J30" s="4" t="s">
        <v>9</v>
      </c>
      <c r="K30" s="4" t="s">
        <v>20</v>
      </c>
      <c r="L30" s="4" t="s">
        <v>20</v>
      </c>
    </row>
    <row r="31" spans="2:12" ht="16" thickBot="1" x14ac:dyDescent="0.35">
      <c r="B31" s="5" t="s">
        <v>11</v>
      </c>
      <c r="C31" s="2">
        <v>37.5</v>
      </c>
      <c r="D31" s="19">
        <v>0</v>
      </c>
      <c r="E31" s="16">
        <f t="shared" ref="E31:E35" si="6">D31/$D$25 * 100</f>
        <v>0</v>
      </c>
      <c r="F31" s="17">
        <f>F30+E31</f>
        <v>0</v>
      </c>
      <c r="G31" s="16">
        <f t="shared" ref="G31:G35" si="7">100-F31</f>
        <v>100</v>
      </c>
      <c r="I31" s="5" t="s">
        <v>10</v>
      </c>
      <c r="J31" s="2">
        <v>75</v>
      </c>
      <c r="K31" s="2">
        <v>100</v>
      </c>
      <c r="L31" s="2">
        <v>100</v>
      </c>
    </row>
    <row r="32" spans="2:12" ht="16" thickBot="1" x14ac:dyDescent="0.35">
      <c r="B32" s="3" t="s">
        <v>12</v>
      </c>
      <c r="C32" s="4">
        <v>19</v>
      </c>
      <c r="D32" s="18">
        <v>694</v>
      </c>
      <c r="E32" s="16">
        <f t="shared" si="6"/>
        <v>34.786967418546368</v>
      </c>
      <c r="F32" s="17">
        <f t="shared" ref="F32:F34" si="8">F31+E32</f>
        <v>34.786967418546368</v>
      </c>
      <c r="G32" s="16">
        <f t="shared" si="7"/>
        <v>65.213032581453632</v>
      </c>
      <c r="I32" s="3" t="s">
        <v>11</v>
      </c>
      <c r="J32" s="4">
        <v>37.5</v>
      </c>
      <c r="K32" s="4">
        <v>95</v>
      </c>
      <c r="L32" s="4">
        <v>100</v>
      </c>
    </row>
    <row r="33" spans="2:12" ht="16" thickBot="1" x14ac:dyDescent="0.35">
      <c r="B33" s="5" t="s">
        <v>13</v>
      </c>
      <c r="C33" s="2">
        <v>9.5</v>
      </c>
      <c r="D33" s="19">
        <v>676</v>
      </c>
      <c r="E33" s="16">
        <f t="shared" si="6"/>
        <v>33.884711779448622</v>
      </c>
      <c r="F33" s="17">
        <f>F32+E33</f>
        <v>68.67167919799499</v>
      </c>
      <c r="G33" s="16">
        <f t="shared" si="7"/>
        <v>31.32832080200501</v>
      </c>
      <c r="I33" s="5" t="s">
        <v>12</v>
      </c>
      <c r="J33" s="2">
        <v>19</v>
      </c>
      <c r="K33" s="2">
        <v>35</v>
      </c>
      <c r="L33" s="2">
        <v>70</v>
      </c>
    </row>
    <row r="34" spans="2:12" ht="16" thickBot="1" x14ac:dyDescent="0.35">
      <c r="B34" s="3" t="s">
        <v>14</v>
      </c>
      <c r="C34" s="4">
        <v>4.75</v>
      </c>
      <c r="D34" s="18">
        <v>575</v>
      </c>
      <c r="E34" s="16">
        <f t="shared" si="6"/>
        <v>28.822055137844611</v>
      </c>
      <c r="F34" s="17">
        <f t="shared" si="8"/>
        <v>97.493734335839605</v>
      </c>
      <c r="G34" s="16">
        <f t="shared" si="7"/>
        <v>2.5062656641603951</v>
      </c>
      <c r="I34" s="3" t="s">
        <v>13</v>
      </c>
      <c r="J34" s="4">
        <v>9.5</v>
      </c>
      <c r="K34" s="4">
        <v>10</v>
      </c>
      <c r="L34" s="4">
        <v>30</v>
      </c>
    </row>
    <row r="35" spans="2:12" ht="16" thickBot="1" x14ac:dyDescent="0.35">
      <c r="B35" s="5" t="s">
        <v>15</v>
      </c>
      <c r="C35" s="2">
        <v>2.36</v>
      </c>
      <c r="D35" s="19">
        <v>50</v>
      </c>
      <c r="E35" s="16">
        <f t="shared" si="6"/>
        <v>2.5062656641604009</v>
      </c>
      <c r="F35" s="17">
        <f>F34+E35</f>
        <v>100</v>
      </c>
      <c r="G35" s="16">
        <f t="shared" si="7"/>
        <v>0</v>
      </c>
      <c r="I35" s="5" t="s">
        <v>14</v>
      </c>
      <c r="J35" s="2">
        <v>4.75</v>
      </c>
      <c r="K35" s="2">
        <v>0</v>
      </c>
      <c r="L35" s="2">
        <v>5</v>
      </c>
    </row>
    <row r="36" spans="2:12" ht="16" thickBot="1" x14ac:dyDescent="0.35">
      <c r="B36" s="3"/>
      <c r="C36" s="4"/>
      <c r="D36" s="15">
        <f>SUM(D30:D35)</f>
        <v>1995</v>
      </c>
      <c r="E36" s="16"/>
      <c r="F36" s="16">
        <f>SUM(F30:F35)</f>
        <v>300.95238095238096</v>
      </c>
      <c r="G36" s="16"/>
      <c r="I36" s="3" t="s">
        <v>15</v>
      </c>
      <c r="J36" s="4">
        <v>2.36</v>
      </c>
      <c r="K36" s="4">
        <v>0</v>
      </c>
      <c r="L36" s="4">
        <v>0</v>
      </c>
    </row>
  </sheetData>
  <mergeCells count="6">
    <mergeCell ref="B27:G27"/>
    <mergeCell ref="I28:L28"/>
    <mergeCell ref="B2:G2"/>
    <mergeCell ref="I4:L4"/>
    <mergeCell ref="B16:G16"/>
    <mergeCell ref="I17:L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Mr.Mughal75</dc:creator>
  <cp:lastModifiedBy>Ejaz Fahad</cp:lastModifiedBy>
  <dcterms:created xsi:type="dcterms:W3CDTF">2015-06-05T18:17:20Z</dcterms:created>
  <dcterms:modified xsi:type="dcterms:W3CDTF">2026-08-27T12:52:02Z</dcterms:modified>
</cp:coreProperties>
</file>